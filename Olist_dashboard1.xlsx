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c297b8afcba916/Documents/CASE STUDY Brazilian E-Commerce Public Dataset by Olist/"/>
    </mc:Choice>
  </mc:AlternateContent>
  <xr:revisionPtr revIDLastSave="0" documentId="13_ncr:1_{5288E7DD-982E-4AE9-86B3-D2E244BC5E69}" xr6:coauthVersionLast="47" xr6:coauthVersionMax="47" xr10:uidLastSave="{00000000-0000-0000-0000-000000000000}"/>
  <bookViews>
    <workbookView xWindow="-108" yWindow="-108" windowWidth="23256" windowHeight="12456" xr2:uid="{9FB0FE82-1854-4C63-9103-E7A080A10717}"/>
  </bookViews>
  <sheets>
    <sheet name="Data" sheetId="1" r:id="rId1"/>
    <sheet name="Dashboards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<sst xmlns="http://schemas.openxmlformats.org/spreadsheetml/2006/main" count="54" uniqueCount="50">
  <si>
    <t>MONTHLY REVENUE TREND</t>
  </si>
  <si>
    <t>MONTHLY SALES GROWTH</t>
  </si>
  <si>
    <t>bed_bath_table</t>
  </si>
  <si>
    <t>health_beauty</t>
  </si>
  <si>
    <t>sports_leisure</t>
  </si>
  <si>
    <t>furniture_decor</t>
  </si>
  <si>
    <t>computers_accessories</t>
  </si>
  <si>
    <t>housewares</t>
  </si>
  <si>
    <t>watches_gifts</t>
  </si>
  <si>
    <t>auto</t>
  </si>
  <si>
    <t>toys</t>
  </si>
  <si>
    <t>cool_stuff</t>
  </si>
  <si>
    <t>RR</t>
  </si>
  <si>
    <t>AP</t>
  </si>
  <si>
    <t>AM</t>
  </si>
  <si>
    <t>AL</t>
  </si>
  <si>
    <t>PA</t>
  </si>
  <si>
    <t>MA</t>
  </si>
  <si>
    <t>SE</t>
  </si>
  <si>
    <t>CE</t>
  </si>
  <si>
    <t>AC</t>
  </si>
  <si>
    <t>PB</t>
  </si>
  <si>
    <t>BA</t>
  </si>
  <si>
    <t>ES</t>
  </si>
  <si>
    <t>GO</t>
  </si>
  <si>
    <t>RJ</t>
  </si>
  <si>
    <t>RS</t>
  </si>
  <si>
    <t>SC</t>
  </si>
  <si>
    <t>DF</t>
  </si>
  <si>
    <t>MG</t>
  </si>
  <si>
    <t>PR</t>
  </si>
  <si>
    <t>SP</t>
  </si>
  <si>
    <t>Delivery Performance by Region</t>
  </si>
  <si>
    <t>Delayed Delivery</t>
  </si>
  <si>
    <t>On-Time Delivery</t>
  </si>
  <si>
    <t>Delivery Impact on Rating</t>
  </si>
  <si>
    <t>Customer Location</t>
  </si>
  <si>
    <t>Month</t>
  </si>
  <si>
    <t>Total Revenue</t>
  </si>
  <si>
    <t>Previous Month Revenue</t>
  </si>
  <si>
    <t>Growth Percentage</t>
  </si>
  <si>
    <t>Product Category</t>
  </si>
  <si>
    <t>Total Products Sold</t>
  </si>
  <si>
    <t>Customer State</t>
  </si>
  <si>
    <t>Total Delivered Orders</t>
  </si>
  <si>
    <t>Average Delivery Days</t>
  </si>
  <si>
    <t>Delivery Status</t>
  </si>
  <si>
    <t>Average Review Score</t>
  </si>
  <si>
    <t>Total Reviews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</si>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</sst>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m\ 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164" fontId="0" fillId="3" borderId="4" xfId="0" applyNumberFormat="1" applyFill="1" applyBorder="1"/>
    <xf numFmtId="43" fontId="0" fillId="3" borderId="5" xfId="1" applyFont="1" applyFill="1" applyBorder="1"/>
    <xf numFmtId="164" fontId="0" fillId="0" borderId="4" xfId="0" applyNumberFormat="1" applyBorder="1"/>
    <xf numFmtId="43" fontId="0" fillId="0" borderId="5" xfId="1" applyFont="1" applyBorder="1"/>
    <xf numFmtId="0" fontId="0" fillId="0" borderId="6" xfId="1" applyNumberFormat="1" applyFont="1" applyBorder="1" applyAlignment="1"/>
    <xf numFmtId="0" fontId="0" fillId="3" borderId="6" xfId="1" applyNumberFormat="1" applyFont="1" applyFill="1" applyBorder="1" applyAlignment="1"/>
    <xf numFmtId="164" fontId="0" fillId="3" borderId="1" xfId="0" applyNumberFormat="1" applyFill="1" applyBorder="1"/>
    <xf numFmtId="43" fontId="0" fillId="3" borderId="3" xfId="1" applyFont="1" applyFill="1" applyBorder="1"/>
    <xf numFmtId="0" fontId="0" fillId="3" borderId="2" xfId="1" applyNumberFormat="1" applyFont="1" applyFill="1" applyBorder="1" applyAlignment="1"/>
    <xf numFmtId="0" fontId="3" fillId="0" borderId="0" xfId="0" applyFont="1"/>
    <xf numFmtId="0" fontId="0" fillId="3" borderId="5" xfId="0" applyFill="1" applyBorder="1"/>
    <xf numFmtId="0" fontId="0" fillId="0" borderId="5" xfId="0" applyBorder="1"/>
    <xf numFmtId="164" fontId="0" fillId="3" borderId="5" xfId="0" applyNumberFormat="1" applyFill="1" applyBorder="1"/>
    <xf numFmtId="164" fontId="0" fillId="0" borderId="5" xfId="0" applyNumberFormat="1" applyBorder="1"/>
    <xf numFmtId="164" fontId="2" fillId="2" borderId="0" xfId="0" applyNumberFormat="1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mm\ 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mm\ 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mm\ 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numFmt numFmtId="164" formatCode="mmm\ yyyy"/>
    </dxf>
    <dxf>
      <numFmt numFmtId="164" formatCode="mmm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Data!$A$4:$A$26</c:f>
              <c:numCache>
                <c:formatCode>mmm\ 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Data!$B$4:$B$26</c:f>
              <c:numCache>
                <c:formatCode>_(* #,##0.00_);_(* \(#,##0.00\);_(* "-"??_);_(@_)</c:formatCode>
                <c:ptCount val="23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9-46FC-ABD2-6B510D3B0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78005647"/>
        <c:axId val="491087455"/>
      </c:lineChart>
      <c:dateAx>
        <c:axId val="177800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By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87455"/>
        <c:crosses val="autoZero"/>
        <c:auto val="1"/>
        <c:lblOffset val="100"/>
        <c:baseTimeUnit val="months"/>
      </c:dateAx>
      <c:valAx>
        <c:axId val="491087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0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Data!$D$31</c:f>
              <c:strCache>
                <c:ptCount val="1"/>
                <c:pt idx="0">
                  <c:v>Growth Percentage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1178992497320469E-2"/>
                  <c:y val="-4.9632577215094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E6-48ED-BA78-624D5EFB315D}"/>
                </c:ext>
              </c:extLst>
            </c:dLbl>
            <c:dLbl>
              <c:idx val="1"/>
              <c:layout>
                <c:manualLayout>
                  <c:x val="-1.8274383708467311E-2"/>
                  <c:y val="-5.75785446366284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E6-48ED-BA78-624D5EFB315D}"/>
                </c:ext>
              </c:extLst>
            </c:dLbl>
            <c:dLbl>
              <c:idx val="2"/>
              <c:layout>
                <c:manualLayout>
                  <c:x val="-5.6049193609641265E-2"/>
                  <c:y val="2.9827097000240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E6-48ED-BA78-624D5EFB315D}"/>
                </c:ext>
              </c:extLst>
            </c:dLbl>
            <c:dLbl>
              <c:idx val="3"/>
              <c:layout>
                <c:manualLayout>
                  <c:x val="-4.7749196141479149E-2"/>
                  <c:y val="-4.565959350432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E6-48ED-BA78-624D5EFB315D}"/>
                </c:ext>
              </c:extLst>
            </c:dLbl>
            <c:dLbl>
              <c:idx val="4"/>
              <c:layout>
                <c:manualLayout>
                  <c:x val="-5.4119933159480466E-2"/>
                  <c:y val="2.5854113289474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E6-48ED-BA78-624D5EFB315D}"/>
                </c:ext>
              </c:extLst>
            </c:dLbl>
            <c:dLbl>
              <c:idx val="5"/>
              <c:layout>
                <c:manualLayout>
                  <c:x val="-6.9185423365487678E-2"/>
                  <c:y val="-5.360556092586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E6-48ED-BA78-624D5EFB315D}"/>
                </c:ext>
              </c:extLst>
            </c:dLbl>
            <c:dLbl>
              <c:idx val="6"/>
              <c:layout>
                <c:manualLayout>
                  <c:x val="-4.5069667738478078E-2"/>
                  <c:y val="-0.109227332876596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E6-48ED-BA78-624D5EFB315D}"/>
                </c:ext>
              </c:extLst>
            </c:dLbl>
            <c:dLbl>
              <c:idx val="7"/>
              <c:layout>
                <c:manualLayout>
                  <c:x val="-4.1639871382636653E-2"/>
                  <c:y val="-0.101281365455063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E6-48ED-BA78-624D5EFB315D}"/>
                </c:ext>
              </c:extLst>
            </c:dLbl>
            <c:dLbl>
              <c:idx val="8"/>
              <c:layout>
                <c:manualLayout>
                  <c:x val="-6.5755627009646309E-2"/>
                  <c:y val="-4.565959350432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E6-48ED-BA78-624D5EFB315D}"/>
                </c:ext>
              </c:extLst>
            </c:dLbl>
            <c:dLbl>
              <c:idx val="10"/>
              <c:layout>
                <c:manualLayout>
                  <c:x val="-9.3562591251656238E-2"/>
                  <c:y val="-1.784870752896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E6-48ED-BA78-624D5EFB315D}"/>
                </c:ext>
              </c:extLst>
            </c:dLbl>
            <c:dLbl>
              <c:idx val="12"/>
              <c:layout>
                <c:manualLayout>
                  <c:x val="-4.8760876353478325E-2"/>
                  <c:y val="3.3800080711007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E6-48ED-BA78-624D5EFB315D}"/>
                </c:ext>
              </c:extLst>
            </c:dLbl>
            <c:dLbl>
              <c:idx val="15"/>
              <c:layout>
                <c:manualLayout>
                  <c:x val="-3.9972023191634905E-2"/>
                  <c:y val="-4.9632577215094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E6-48ED-BA78-624D5EFB315D}"/>
                </c:ext>
              </c:extLst>
            </c:dLbl>
            <c:dLbl>
              <c:idx val="16"/>
              <c:layout>
                <c:manualLayout>
                  <c:x val="-5.4119933159480368E-2"/>
                  <c:y val="3.3800080711007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E6-48ED-BA78-624D5EFB3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Data!$A$32:$A$50</c:f>
              <c:numCache>
                <c:formatCode>mmm\ yyyy</c:formatCode>
                <c:ptCount val="19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</c:numCache>
            </c:numRef>
          </c:cat>
          <c:val>
            <c:numRef>
              <c:f>Data!$D$32:$D$50</c:f>
              <c:numCache>
                <c:formatCode>General</c:formatCode>
                <c:ptCount val="19"/>
                <c:pt idx="0">
                  <c:v>112.77</c:v>
                </c:pt>
                <c:pt idx="1">
                  <c:v>52.75</c:v>
                </c:pt>
                <c:pt idx="2">
                  <c:v>-5.68</c:v>
                </c:pt>
                <c:pt idx="3">
                  <c:v>45.04</c:v>
                </c:pt>
                <c:pt idx="4">
                  <c:v>-13.55</c:v>
                </c:pt>
                <c:pt idx="5">
                  <c:v>15.56</c:v>
                </c:pt>
                <c:pt idx="6">
                  <c:v>14.04</c:v>
                </c:pt>
                <c:pt idx="7">
                  <c:v>8.5500000000000007</c:v>
                </c:pt>
                <c:pt idx="8">
                  <c:v>7.14</c:v>
                </c:pt>
                <c:pt idx="9">
                  <c:v>53.55</c:v>
                </c:pt>
                <c:pt idx="10">
                  <c:v>-26.9</c:v>
                </c:pt>
                <c:pt idx="11">
                  <c:v>27.85</c:v>
                </c:pt>
                <c:pt idx="12">
                  <c:v>-10.36</c:v>
                </c:pt>
                <c:pt idx="13">
                  <c:v>15.98</c:v>
                </c:pt>
                <c:pt idx="14">
                  <c:v>1.1000000000000001</c:v>
                </c:pt>
                <c:pt idx="15">
                  <c:v>-0.36</c:v>
                </c:pt>
                <c:pt idx="16">
                  <c:v>-10.35</c:v>
                </c:pt>
                <c:pt idx="17">
                  <c:v>1.56</c:v>
                </c:pt>
                <c:pt idx="18">
                  <c:v>-4.12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6-48ED-BA78-624D5EFB31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50353824"/>
        <c:axId val="1350354304"/>
      </c:lineChart>
      <c:dateAx>
        <c:axId val="135035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54304"/>
        <c:crosses val="autoZero"/>
        <c:auto val="1"/>
        <c:lblOffset val="100"/>
        <c:baseTimeUnit val="months"/>
      </c:dateAx>
      <c:valAx>
        <c:axId val="1350354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Percentage(%)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Data!$C$56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Data!$A$57:$A$66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Data!$C$57:$C$66</c:f>
              <c:numCache>
                <c:formatCode>_(* #,##0.00_);_(* \(#,##0.00\);_(* "-"??_);_(@_)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4-4E02-A014-6BB65E2303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44454080"/>
        <c:axId val="1344453600"/>
      </c:barChart>
      <c:catAx>
        <c:axId val="13444540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53600"/>
        <c:crosses val="autoZero"/>
        <c:auto val="1"/>
        <c:lblAlgn val="ctr"/>
        <c:lblOffset val="100"/>
        <c:noMultiLvlLbl val="0"/>
      </c:catAx>
      <c:valAx>
        <c:axId val="1344453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Customer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Data!$B$116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5.5555555555555558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D8-49AF-9471-53B181C8D295}"/>
                </c:ext>
              </c:extLst>
            </c:dLbl>
            <c:dLbl>
              <c:idx val="2"/>
              <c:layout>
                <c:manualLayout>
                  <c:x val="5.5555555555555046E-3"/>
                  <c:y val="-4.6296296296297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D8-49AF-9471-53B181C8D295}"/>
                </c:ext>
              </c:extLst>
            </c:dLbl>
            <c:dLbl>
              <c:idx val="3"/>
              <c:layout>
                <c:manualLayout>
                  <c:x val="-5.5555555555556061E-3"/>
                  <c:y val="-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D8-49AF-9471-53B181C8D295}"/>
                </c:ext>
              </c:extLst>
            </c:dLbl>
            <c:dLbl>
              <c:idx val="4"/>
              <c:layout>
                <c:manualLayout>
                  <c:x val="2.777777777777777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D8-49AF-9471-53B181C8D295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Data!$A$117:$A$126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f>Data!$B$117:$B$126</c:f>
              <c:numCache>
                <c:formatCode>_(* #,##0.00_);_(* \(#,##0.00\);_(* "-"??_);_(@_)</c:formatCode>
                <c:ptCount val="10"/>
                <c:pt idx="0">
                  <c:v>41746</c:v>
                </c:pt>
                <c:pt idx="1">
                  <c:v>12852</c:v>
                </c:pt>
                <c:pt idx="2">
                  <c:v>11635</c:v>
                </c:pt>
                <c:pt idx="3">
                  <c:v>5466</c:v>
                </c:pt>
                <c:pt idx="4">
                  <c:v>5045</c:v>
                </c:pt>
                <c:pt idx="5">
                  <c:v>3637</c:v>
                </c:pt>
                <c:pt idx="6">
                  <c:v>3380</c:v>
                </c:pt>
                <c:pt idx="7">
                  <c:v>2140</c:v>
                </c:pt>
                <c:pt idx="8">
                  <c:v>2033</c:v>
                </c:pt>
                <c:pt idx="9">
                  <c:v>2020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8-49AF-9471-53B181C8D2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4"/>
        <c:axId val="1356426496"/>
        <c:axId val="1356426016"/>
      </c:barChart>
      <c:catAx>
        <c:axId val="135642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Customers 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26016"/>
        <c:crosses val="autoZero"/>
        <c:auto val="1"/>
        <c:lblAlgn val="ctr"/>
        <c:lblOffset val="100"/>
        <c:noMultiLvlLbl val="0"/>
      </c:catAx>
      <c:valAx>
        <c:axId val="13564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2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Delivery Impact on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Data!$B$97</c:f>
              <c:strCache>
                <c:ptCount val="1"/>
                <c:pt idx="0">
                  <c:v>Average Review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Data!$A$98:$A$99</c:f>
              <c:strCache>
                <c:ptCount val="2"/>
                <c:pt idx="0">
                  <c:v>On-Time Delivery</c:v>
                </c:pt>
                <c:pt idx="1">
                  <c:v>Delayed Delivery</c:v>
                </c:pt>
              </c:strCache>
            </c:strRef>
          </c:cat>
          <c:val>
            <c:numRef>
              <c:f>Data!$B$98:$B$99</c:f>
              <c:numCache>
                <c:formatCode>General</c:formatCode>
                <c:ptCount val="2"/>
                <c:pt idx="0">
                  <c:v>4.29</c:v>
                </c:pt>
                <c:pt idx="1">
                  <c:v>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2-458F-A4D3-AF571F0941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4352383"/>
        <c:axId val="1374350943"/>
      </c:barChart>
      <c:catAx>
        <c:axId val="13743523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50943"/>
        <c:crosses val="autoZero"/>
        <c:auto val="1"/>
        <c:lblAlgn val="ctr"/>
        <c:lblOffset val="100"/>
        <c:noMultiLvlLbl val="0"/>
      </c:catAx>
      <c:valAx>
        <c:axId val="13743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52383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Delivery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Data!$C$78</c:f>
              <c:strCache>
                <c:ptCount val="1"/>
                <c:pt idx="0">
                  <c:v>Average Delivery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Data!$A$79:$A$88</c:f>
              <c:strCache>
                <c:ptCount val="10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</c:strCache>
            </c:strRef>
          </c:cat>
          <c:val>
            <c:numRef>
              <c:f>Data!$C$79:$C$88</c:f>
              <c:numCache>
                <c:formatCode>General</c:formatCode>
                <c:ptCount val="10"/>
                <c:pt idx="0">
                  <c:v>28.98</c:v>
                </c:pt>
                <c:pt idx="1">
                  <c:v>26.73</c:v>
                </c:pt>
                <c:pt idx="2">
                  <c:v>25.99</c:v>
                </c:pt>
                <c:pt idx="3">
                  <c:v>24.04</c:v>
                </c:pt>
                <c:pt idx="4">
                  <c:v>23.32</c:v>
                </c:pt>
                <c:pt idx="5">
                  <c:v>21.12</c:v>
                </c:pt>
                <c:pt idx="6">
                  <c:v>21.03</c:v>
                </c:pt>
                <c:pt idx="7">
                  <c:v>20.82</c:v>
                </c:pt>
                <c:pt idx="8">
                  <c:v>20.64</c:v>
                </c:pt>
                <c:pt idx="9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A-4AA4-B7C9-2E4B5FBA93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62412255"/>
        <c:axId val="1862412735"/>
      </c:barChart>
      <c:catAx>
        <c:axId val="186241225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12735"/>
        <c:crosses val="autoZero"/>
        <c:auto val="1"/>
        <c:lblAlgn val="ctr"/>
        <c:lblOffset val="100"/>
        <c:noMultiLvlLbl val="0"/>
      </c:catAx>
      <c:valAx>
        <c:axId val="1862412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Avergae Delivery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Data!$A$4:$A$26</c:f>
              <c:numCache>
                <c:formatCode>mmm\ 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Data!$B$4:$B$26</c:f>
              <c:numCache>
                <c:formatCode>_(* #,##0.00_);_(* \(#,##0.00\);_(* "-"??_);_(@_)</c:formatCode>
                <c:ptCount val="23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4-43AA-A64E-87F043C1A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78005647"/>
        <c:axId val="491087455"/>
      </c:lineChart>
      <c:dateAx>
        <c:axId val="177800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By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87455"/>
        <c:crosses val="autoZero"/>
        <c:auto val="1"/>
        <c:lblOffset val="100"/>
        <c:baseTimeUnit val="months"/>
      </c:dateAx>
      <c:valAx>
        <c:axId val="491087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0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Data!$D$31</c:f>
              <c:strCache>
                <c:ptCount val="1"/>
                <c:pt idx="0">
                  <c:v>Growth Percentage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1178992497320469E-2"/>
                  <c:y val="-4.9632577215094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22-4521-A0A3-11B1296BB297}"/>
                </c:ext>
              </c:extLst>
            </c:dLbl>
            <c:dLbl>
              <c:idx val="1"/>
              <c:layout>
                <c:manualLayout>
                  <c:x val="-1.8274383708467311E-2"/>
                  <c:y val="-5.75785446366284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22-4521-A0A3-11B1296BB297}"/>
                </c:ext>
              </c:extLst>
            </c:dLbl>
            <c:dLbl>
              <c:idx val="2"/>
              <c:layout>
                <c:manualLayout>
                  <c:x val="-5.6049193609641265E-2"/>
                  <c:y val="2.9827097000240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22-4521-A0A3-11B1296BB297}"/>
                </c:ext>
              </c:extLst>
            </c:dLbl>
            <c:dLbl>
              <c:idx val="3"/>
              <c:layout>
                <c:manualLayout>
                  <c:x val="-4.7749196141479149E-2"/>
                  <c:y val="-4.565959350432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22-4521-A0A3-11B1296BB297}"/>
                </c:ext>
              </c:extLst>
            </c:dLbl>
            <c:dLbl>
              <c:idx val="4"/>
              <c:layout>
                <c:manualLayout>
                  <c:x val="-5.4119933159480466E-2"/>
                  <c:y val="2.5854113289474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22-4521-A0A3-11B1296BB297}"/>
                </c:ext>
              </c:extLst>
            </c:dLbl>
            <c:dLbl>
              <c:idx val="5"/>
              <c:layout>
                <c:manualLayout>
                  <c:x val="-6.9185423365487678E-2"/>
                  <c:y val="-5.360556092586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22-4521-A0A3-11B1296BB297}"/>
                </c:ext>
              </c:extLst>
            </c:dLbl>
            <c:dLbl>
              <c:idx val="6"/>
              <c:layout>
                <c:manualLayout>
                  <c:x val="-4.5069667738478078E-2"/>
                  <c:y val="-0.109227332876596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22-4521-A0A3-11B1296BB297}"/>
                </c:ext>
              </c:extLst>
            </c:dLbl>
            <c:dLbl>
              <c:idx val="7"/>
              <c:layout>
                <c:manualLayout>
                  <c:x val="-4.1639871382636653E-2"/>
                  <c:y val="-0.101281365455063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22-4521-A0A3-11B1296BB297}"/>
                </c:ext>
              </c:extLst>
            </c:dLbl>
            <c:dLbl>
              <c:idx val="8"/>
              <c:layout>
                <c:manualLayout>
                  <c:x val="-6.5755627009646309E-2"/>
                  <c:y val="-4.565959350432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22-4521-A0A3-11B1296BB297}"/>
                </c:ext>
              </c:extLst>
            </c:dLbl>
            <c:dLbl>
              <c:idx val="10"/>
              <c:layout>
                <c:manualLayout>
                  <c:x val="-9.3562591251656238E-2"/>
                  <c:y val="-1.784870752896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22-4521-A0A3-11B1296BB297}"/>
                </c:ext>
              </c:extLst>
            </c:dLbl>
            <c:dLbl>
              <c:idx val="12"/>
              <c:layout>
                <c:manualLayout>
                  <c:x val="-4.8760876353478325E-2"/>
                  <c:y val="3.3800080711007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622-4521-A0A3-11B1296BB297}"/>
                </c:ext>
              </c:extLst>
            </c:dLbl>
            <c:dLbl>
              <c:idx val="15"/>
              <c:layout>
                <c:manualLayout>
                  <c:x val="-3.9972023191634905E-2"/>
                  <c:y val="-4.9632577215094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22-4521-A0A3-11B1296BB297}"/>
                </c:ext>
              </c:extLst>
            </c:dLbl>
            <c:dLbl>
              <c:idx val="16"/>
              <c:layout>
                <c:manualLayout>
                  <c:x val="-5.4119933159480368E-2"/>
                  <c:y val="3.3800080711007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22-4521-A0A3-11B1296BB2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Data!$A$32:$A$50</c:f>
              <c:numCache>
                <c:formatCode>mmm\ yyyy</c:formatCode>
                <c:ptCount val="19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</c:numCache>
            </c:numRef>
          </c:cat>
          <c:val>
            <c:numRef>
              <c:f>Data!$D$32:$D$50</c:f>
              <c:numCache>
                <c:formatCode>General</c:formatCode>
                <c:ptCount val="19"/>
                <c:pt idx="0">
                  <c:v>112.77</c:v>
                </c:pt>
                <c:pt idx="1">
                  <c:v>52.75</c:v>
                </c:pt>
                <c:pt idx="2">
                  <c:v>-5.68</c:v>
                </c:pt>
                <c:pt idx="3">
                  <c:v>45.04</c:v>
                </c:pt>
                <c:pt idx="4">
                  <c:v>-13.55</c:v>
                </c:pt>
                <c:pt idx="5">
                  <c:v>15.56</c:v>
                </c:pt>
                <c:pt idx="6">
                  <c:v>14.04</c:v>
                </c:pt>
                <c:pt idx="7">
                  <c:v>8.5500000000000007</c:v>
                </c:pt>
                <c:pt idx="8">
                  <c:v>7.14</c:v>
                </c:pt>
                <c:pt idx="9">
                  <c:v>53.55</c:v>
                </c:pt>
                <c:pt idx="10">
                  <c:v>-26.9</c:v>
                </c:pt>
                <c:pt idx="11">
                  <c:v>27.85</c:v>
                </c:pt>
                <c:pt idx="12">
                  <c:v>-10.36</c:v>
                </c:pt>
                <c:pt idx="13">
                  <c:v>15.98</c:v>
                </c:pt>
                <c:pt idx="14">
                  <c:v>1.1000000000000001</c:v>
                </c:pt>
                <c:pt idx="15">
                  <c:v>-0.36</c:v>
                </c:pt>
                <c:pt idx="16">
                  <c:v>-10.35</c:v>
                </c:pt>
                <c:pt idx="17">
                  <c:v>1.56</c:v>
                </c:pt>
                <c:pt idx="18">
                  <c:v>-4.12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622-4521-A0A3-11B1296BB2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50353824"/>
        <c:axId val="1350354304"/>
      </c:lineChart>
      <c:dateAx>
        <c:axId val="135035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54304"/>
        <c:crosses val="autoZero"/>
        <c:auto val="1"/>
        <c:lblOffset val="100"/>
        <c:baseTimeUnit val="months"/>
      </c:dateAx>
      <c:valAx>
        <c:axId val="1350354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Percentage(%)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Data!$C$56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Data!$A$57:$A$66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Data!$C$57:$C$66</c:f>
              <c:numCache>
                <c:formatCode>_(* #,##0.00_);_(* \(#,##0.00\);_(* "-"??_);_(@_)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4-4B12-9C61-3BB38C0B8B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44454080"/>
        <c:axId val="1344453600"/>
      </c:barChart>
      <c:catAx>
        <c:axId val="13444540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53600"/>
        <c:crosses val="autoZero"/>
        <c:auto val="1"/>
        <c:lblAlgn val="ctr"/>
        <c:lblOffset val="100"/>
        <c:noMultiLvlLbl val="0"/>
      </c:catAx>
      <c:valAx>
        <c:axId val="1344453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Delivery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Data!$C$78</c:f>
              <c:strCache>
                <c:ptCount val="1"/>
                <c:pt idx="0">
                  <c:v>Average Delivery 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Data!$A$79:$A$88</c:f>
              <c:strCache>
                <c:ptCount val="10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</c:strCache>
            </c:strRef>
          </c:cat>
          <c:val>
            <c:numRef>
              <c:f>Data!$C$79:$C$88</c:f>
              <c:numCache>
                <c:formatCode>General</c:formatCode>
                <c:ptCount val="10"/>
                <c:pt idx="0">
                  <c:v>28.98</c:v>
                </c:pt>
                <c:pt idx="1">
                  <c:v>26.73</c:v>
                </c:pt>
                <c:pt idx="2">
                  <c:v>25.99</c:v>
                </c:pt>
                <c:pt idx="3">
                  <c:v>24.04</c:v>
                </c:pt>
                <c:pt idx="4">
                  <c:v>23.32</c:v>
                </c:pt>
                <c:pt idx="5">
                  <c:v>21.12</c:v>
                </c:pt>
                <c:pt idx="6">
                  <c:v>21.03</c:v>
                </c:pt>
                <c:pt idx="7">
                  <c:v>20.82</c:v>
                </c:pt>
                <c:pt idx="8">
                  <c:v>20.64</c:v>
                </c:pt>
                <c:pt idx="9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8-4D4D-A54C-0675C518BB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62412255"/>
        <c:axId val="1862412735"/>
      </c:barChart>
      <c:catAx>
        <c:axId val="186241225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12735"/>
        <c:crosses val="autoZero"/>
        <c:auto val="1"/>
        <c:lblAlgn val="ctr"/>
        <c:lblOffset val="100"/>
        <c:noMultiLvlLbl val="0"/>
      </c:catAx>
      <c:valAx>
        <c:axId val="1862412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Avergae Delivery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Delivery Impact on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Data!$B$97</c:f>
              <c:strCache>
                <c:ptCount val="1"/>
                <c:pt idx="0">
                  <c:v>Average Review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Data!$A$98:$A$99</c:f>
              <c:strCache>
                <c:ptCount val="2"/>
                <c:pt idx="0">
                  <c:v>On-Time Delivery</c:v>
                </c:pt>
                <c:pt idx="1">
                  <c:v>Delayed Delivery</c:v>
                </c:pt>
              </c:strCache>
            </c:strRef>
          </c:cat>
          <c:val>
            <c:numRef>
              <c:f>Data!$B$98:$B$99</c:f>
              <c:numCache>
                <c:formatCode>General</c:formatCode>
                <c:ptCount val="2"/>
                <c:pt idx="0">
                  <c:v>4.29</c:v>
                </c:pt>
                <c:pt idx="1">
                  <c:v>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7-446D-B45B-C4CC4771C8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4352383"/>
        <c:axId val="1374350943"/>
      </c:barChart>
      <c:catAx>
        <c:axId val="13743523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50943"/>
        <c:crosses val="autoZero"/>
        <c:auto val="1"/>
        <c:lblAlgn val="ctr"/>
        <c:lblOffset val="100"/>
        <c:noMultiLvlLbl val="0"/>
      </c:catAx>
      <c:valAx>
        <c:axId val="13743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52383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Customer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Data!$B$116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5.5555555555555558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88-45D8-8E2B-82E78143D7BB}"/>
                </c:ext>
              </c:extLst>
            </c:dLbl>
            <c:dLbl>
              <c:idx val="2"/>
              <c:layout>
                <c:manualLayout>
                  <c:x val="5.5555555555555046E-3"/>
                  <c:y val="-4.6296296296297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88-45D8-8E2B-82E78143D7BB}"/>
                </c:ext>
              </c:extLst>
            </c:dLbl>
            <c:dLbl>
              <c:idx val="3"/>
              <c:layout>
                <c:manualLayout>
                  <c:x val="-5.5555555555556061E-3"/>
                  <c:y val="-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88-45D8-8E2B-82E78143D7BB}"/>
                </c:ext>
              </c:extLst>
            </c:dLbl>
            <c:dLbl>
              <c:idx val="4"/>
              <c:layout>
                <c:manualLayout>
                  <c:x val="2.777777777777777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88-45D8-8E2B-82E78143D7BB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Data!$A$117:$A$126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f>Data!$B$117:$B$126</c:f>
              <c:numCache>
                <c:formatCode>_(* #,##0.00_);_(* \(#,##0.00\);_(* "-"??_);_(@_)</c:formatCode>
                <c:ptCount val="10"/>
                <c:pt idx="0">
                  <c:v>41746</c:v>
                </c:pt>
                <c:pt idx="1">
                  <c:v>12852</c:v>
                </c:pt>
                <c:pt idx="2">
                  <c:v>11635</c:v>
                </c:pt>
                <c:pt idx="3">
                  <c:v>5466</c:v>
                </c:pt>
                <c:pt idx="4">
                  <c:v>5045</c:v>
                </c:pt>
                <c:pt idx="5">
                  <c:v>3637</c:v>
                </c:pt>
                <c:pt idx="6">
                  <c:v>3380</c:v>
                </c:pt>
                <c:pt idx="7">
                  <c:v>2140</c:v>
                </c:pt>
                <c:pt idx="8">
                  <c:v>2033</c:v>
                </c:pt>
                <c:pt idx="9">
                  <c:v>2020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8-45D8-8E2B-82E78143D7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4"/>
        <c:axId val="1356426496"/>
        <c:axId val="1356426016"/>
      </c:barChart>
      <c:catAx>
        <c:axId val="135642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Customers 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26016"/>
        <c:crosses val="autoZero"/>
        <c:auto val="1"/>
        <c:lblAlgn val="ctr"/>
        <c:lblOffset val="100"/>
        <c:noMultiLvlLbl val="0"/>
      </c:catAx>
      <c:valAx>
        <c:axId val="13564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2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0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9.xml"/><Relationship Id="rId5" Type="http://schemas.openxmlformats.org/officeDocument/2006/relationships/image" Target="../media/image5.png"/><Relationship Id="rId10" Type="http://schemas.openxmlformats.org/officeDocument/2006/relationships/chart" Target="../charts/chart8.xml"/><Relationship Id="rId4" Type="http://schemas.openxmlformats.org/officeDocument/2006/relationships/image" Target="../media/image4.svg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1</xdr:row>
      <xdr:rowOff>171450</xdr:rowOff>
    </xdr:from>
    <xdr:to>
      <xdr:col>6</xdr:col>
      <xdr:colOff>1120140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E41B79-7D97-E2B0-0C12-F6C6C5620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30</xdr:row>
      <xdr:rowOff>7620</xdr:rowOff>
    </xdr:from>
    <xdr:to>
      <xdr:col>8</xdr:col>
      <xdr:colOff>1005840</xdr:colOff>
      <xdr:row>50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619334-83DF-5E4D-E2BA-C7087F2B4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190500</xdr:colOff>
      <xdr:row>54</xdr:row>
      <xdr:rowOff>171450</xdr:rowOff>
    </xdr:from>
    <xdr:to>
      <xdr:col>8</xdr:col>
      <xdr:colOff>998220</xdr:colOff>
      <xdr:row>73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546308-9B92-F122-6B14-7BF985B1E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167640</xdr:colOff>
      <xdr:row>115</xdr:row>
      <xdr:rowOff>3810</xdr:rowOff>
    </xdr:from>
    <xdr:to>
      <xdr:col>8</xdr:col>
      <xdr:colOff>1028700</xdr:colOff>
      <xdr:row>130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628801-50C8-BF74-7CE8-68C75D4E9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167640</xdr:colOff>
      <xdr:row>95</xdr:row>
      <xdr:rowOff>163830</xdr:rowOff>
    </xdr:from>
    <xdr:to>
      <xdr:col>8</xdr:col>
      <xdr:colOff>1036320</xdr:colOff>
      <xdr:row>110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094DD1-803D-42FE-1898-36C6DD809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205740</xdr:colOff>
      <xdr:row>76</xdr:row>
      <xdr:rowOff>179070</xdr:rowOff>
    </xdr:from>
    <xdr:to>
      <xdr:col>8</xdr:col>
      <xdr:colOff>1005840</xdr:colOff>
      <xdr:row>91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FC689F-16B4-4CCA-59BB-CCA691997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0</xdr:rowOff>
    </xdr:from>
    <xdr:to>
      <xdr:col>4</xdr:col>
      <xdr:colOff>266700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903542-69B4-FFA3-0027-05E4B47BD8F6}"/>
            </a:ext>
          </a:extLst>
        </xdr:cNvPr>
        <xdr:cNvSpPr/>
      </xdr:nvSpPr>
      <xdr:spPr>
        <a:xfrm>
          <a:off x="632460" y="365760"/>
          <a:ext cx="207264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   TOTAL</a:t>
          </a:r>
          <a:r>
            <a:rPr lang="en-US" sz="1600" b="1" baseline="0"/>
            <a:t> REVENUE</a:t>
          </a:r>
        </a:p>
        <a:p>
          <a:pPr algn="ctr"/>
          <a:r>
            <a:rPr lang="en-US" sz="1100" baseline="0"/>
            <a:t>    </a:t>
          </a:r>
          <a:r>
            <a:rPr lang="en-US" sz="1400" baseline="0"/>
            <a:t>15,843,553</a:t>
          </a:r>
        </a:p>
      </xdr:txBody>
    </xdr:sp>
    <xdr:clientData/>
  </xdr:twoCellAnchor>
  <xdr:twoCellAnchor>
    <xdr:from>
      <xdr:col>5</xdr:col>
      <xdr:colOff>140547</xdr:colOff>
      <xdr:row>2</xdr:row>
      <xdr:rowOff>0</xdr:rowOff>
    </xdr:from>
    <xdr:to>
      <xdr:col>8</xdr:col>
      <xdr:colOff>353907</xdr:colOff>
      <xdr:row>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4825FD-C05A-4C78-8728-EC8F88446CF5}"/>
            </a:ext>
          </a:extLst>
        </xdr:cNvPr>
        <xdr:cNvSpPr/>
      </xdr:nvSpPr>
      <xdr:spPr>
        <a:xfrm>
          <a:off x="3188547" y="365760"/>
          <a:ext cx="2042160" cy="73152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Average Order Value</a:t>
          </a:r>
        </a:p>
        <a:p>
          <a:pPr algn="ctr"/>
          <a:r>
            <a:rPr lang="en-US" sz="1400"/>
            <a:t>159.83</a:t>
          </a:r>
        </a:p>
      </xdr:txBody>
    </xdr:sp>
    <xdr:clientData/>
  </xdr:twoCellAnchor>
  <xdr:twoCellAnchor>
    <xdr:from>
      <xdr:col>9</xdr:col>
      <xdr:colOff>227754</xdr:colOff>
      <xdr:row>2</xdr:row>
      <xdr:rowOff>0</xdr:rowOff>
    </xdr:from>
    <xdr:to>
      <xdr:col>12</xdr:col>
      <xdr:colOff>362374</xdr:colOff>
      <xdr:row>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0B4EDF0-D1CD-4005-B3DF-60AB1BCADF22}"/>
            </a:ext>
          </a:extLst>
        </xdr:cNvPr>
        <xdr:cNvSpPr/>
      </xdr:nvSpPr>
      <xdr:spPr>
        <a:xfrm>
          <a:off x="5714154" y="365760"/>
          <a:ext cx="196342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Repeat Customers</a:t>
          </a:r>
        </a:p>
        <a:p>
          <a:pPr algn="ctr"/>
          <a:r>
            <a:rPr lang="en-US" sz="1400"/>
            <a:t>2,997</a:t>
          </a:r>
        </a:p>
      </xdr:txBody>
    </xdr:sp>
    <xdr:clientData/>
  </xdr:twoCellAnchor>
  <xdr:twoCellAnchor>
    <xdr:from>
      <xdr:col>13</xdr:col>
      <xdr:colOff>236220</xdr:colOff>
      <xdr:row>2</xdr:row>
      <xdr:rowOff>0</xdr:rowOff>
    </xdr:from>
    <xdr:to>
      <xdr:col>16</xdr:col>
      <xdr:colOff>403860</xdr:colOff>
      <xdr:row>6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8055B30-5115-4AC8-A73B-37F7415A54FF}"/>
            </a:ext>
          </a:extLst>
        </xdr:cNvPr>
        <xdr:cNvSpPr/>
      </xdr:nvSpPr>
      <xdr:spPr>
        <a:xfrm>
          <a:off x="8161020" y="372533"/>
          <a:ext cx="1996440" cy="7450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Total Orders</a:t>
          </a:r>
        </a:p>
        <a:p>
          <a:pPr algn="ctr"/>
          <a:r>
            <a:rPr lang="en-US" sz="1400"/>
            <a:t>99,441</a:t>
          </a:r>
        </a:p>
      </xdr:txBody>
    </xdr:sp>
    <xdr:clientData/>
  </xdr:twoCellAnchor>
  <xdr:twoCellAnchor editAs="oneCell">
    <xdr:from>
      <xdr:col>1</xdr:col>
      <xdr:colOff>99060</xdr:colOff>
      <xdr:row>3</xdr:row>
      <xdr:rowOff>15240</xdr:rowOff>
    </xdr:from>
    <xdr:to>
      <xdr:col>2</xdr:col>
      <xdr:colOff>68580</xdr:colOff>
      <xdr:row>6</xdr:row>
      <xdr:rowOff>45720</xdr:rowOff>
    </xdr:to>
    <xdr:pic>
      <xdr:nvPicPr>
        <xdr:cNvPr id="7" name="Graphic 6" descr="Coins outline">
          <a:extLst>
            <a:ext uri="{FF2B5EF4-FFF2-40B4-BE49-F238E27FC236}">
              <a16:creationId xmlns:a16="http://schemas.microsoft.com/office/drawing/2014/main" id="{41ED48A9-74DB-75DD-1257-3DF0C6A00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8660" y="563880"/>
          <a:ext cx="579120" cy="579120"/>
        </a:xfrm>
        <a:prstGeom prst="rect">
          <a:avLst/>
        </a:prstGeom>
      </xdr:spPr>
    </xdr:pic>
    <xdr:clientData/>
  </xdr:twoCellAnchor>
  <xdr:twoCellAnchor editAs="oneCell">
    <xdr:from>
      <xdr:col>5</xdr:col>
      <xdr:colOff>347133</xdr:colOff>
      <xdr:row>3</xdr:row>
      <xdr:rowOff>68580</xdr:rowOff>
    </xdr:from>
    <xdr:to>
      <xdr:col>6</xdr:col>
      <xdr:colOff>217593</xdr:colOff>
      <xdr:row>6</xdr:row>
      <xdr:rowOff>0</xdr:rowOff>
    </xdr:to>
    <xdr:pic>
      <xdr:nvPicPr>
        <xdr:cNvPr id="9" name="Graphic 8" descr="Shopping cart with solid fill">
          <a:extLst>
            <a:ext uri="{FF2B5EF4-FFF2-40B4-BE49-F238E27FC236}">
              <a16:creationId xmlns:a16="http://schemas.microsoft.com/office/drawing/2014/main" id="{8CF60C8D-C54B-20ED-A208-6E433518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95133" y="627380"/>
          <a:ext cx="480060" cy="490220"/>
        </a:xfrm>
        <a:prstGeom prst="rect">
          <a:avLst/>
        </a:prstGeom>
      </xdr:spPr>
    </xdr:pic>
    <xdr:clientData/>
  </xdr:twoCellAnchor>
  <xdr:twoCellAnchor editAs="oneCell">
    <xdr:from>
      <xdr:col>9</xdr:col>
      <xdr:colOff>381847</xdr:colOff>
      <xdr:row>2</xdr:row>
      <xdr:rowOff>149860</xdr:rowOff>
    </xdr:from>
    <xdr:to>
      <xdr:col>10</xdr:col>
      <xdr:colOff>397087</xdr:colOff>
      <xdr:row>6</xdr:row>
      <xdr:rowOff>43180</xdr:rowOff>
    </xdr:to>
    <xdr:pic>
      <xdr:nvPicPr>
        <xdr:cNvPr id="15" name="Graphic 14" descr="Users with solid fill">
          <a:extLst>
            <a:ext uri="{FF2B5EF4-FFF2-40B4-BE49-F238E27FC236}">
              <a16:creationId xmlns:a16="http://schemas.microsoft.com/office/drawing/2014/main" id="{37D7096C-D177-1161-8B80-723EF014A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868247" y="522393"/>
          <a:ext cx="624840" cy="638387"/>
        </a:xfrm>
        <a:prstGeom prst="rect">
          <a:avLst/>
        </a:prstGeom>
      </xdr:spPr>
    </xdr:pic>
    <xdr:clientData/>
  </xdr:twoCellAnchor>
  <xdr:twoCellAnchor editAs="oneCell">
    <xdr:from>
      <xdr:col>13</xdr:col>
      <xdr:colOff>297180</xdr:colOff>
      <xdr:row>2</xdr:row>
      <xdr:rowOff>138854</xdr:rowOff>
    </xdr:from>
    <xdr:to>
      <xdr:col>14</xdr:col>
      <xdr:colOff>274320</xdr:colOff>
      <xdr:row>5</xdr:row>
      <xdr:rowOff>176954</xdr:rowOff>
    </xdr:to>
    <xdr:pic>
      <xdr:nvPicPr>
        <xdr:cNvPr id="17" name="Graphic 16" descr="Box with solid fill">
          <a:extLst>
            <a:ext uri="{FF2B5EF4-FFF2-40B4-BE49-F238E27FC236}">
              <a16:creationId xmlns:a16="http://schemas.microsoft.com/office/drawing/2014/main" id="{D2D8468A-8F19-EEF8-8F1F-D314E5BD4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221980" y="511387"/>
          <a:ext cx="586740" cy="5969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7620</xdr:rowOff>
    </xdr:from>
    <xdr:to>
      <xdr:col>8</xdr:col>
      <xdr:colOff>472440</xdr:colOff>
      <xdr:row>22</xdr:row>
      <xdr:rowOff>7620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E36F7C1-0FDE-4DFF-8084-373A996F3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472440</xdr:colOff>
      <xdr:row>22</xdr:row>
      <xdr:rowOff>7620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0AA2F84-1154-45E5-972B-11E7C6C45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502920</xdr:colOff>
      <xdr:row>38</xdr:row>
      <xdr:rowOff>121920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8AF9F06-216B-4069-ABC8-22BB64AA8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7620</xdr:colOff>
      <xdr:row>22</xdr:row>
      <xdr:rowOff>167640</xdr:rowOff>
    </xdr:from>
    <xdr:to>
      <xdr:col>16</xdr:col>
      <xdr:colOff>495300</xdr:colOff>
      <xdr:row>38</xdr:row>
      <xdr:rowOff>129540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35670A1-183E-460A-9252-BEB21B619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8422</xdr:colOff>
      <xdr:row>39</xdr:row>
      <xdr:rowOff>24064</xdr:rowOff>
    </xdr:from>
    <xdr:to>
      <xdr:col>8</xdr:col>
      <xdr:colOff>503722</xdr:colOff>
      <xdr:row>54</xdr:row>
      <xdr:rowOff>166037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E2C626-767C-411B-92BE-C6A143E65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7620</xdr:colOff>
      <xdr:row>39</xdr:row>
      <xdr:rowOff>24064</xdr:rowOff>
    </xdr:from>
    <xdr:to>
      <xdr:col>16</xdr:col>
      <xdr:colOff>518160</xdr:colOff>
      <xdr:row>55</xdr:row>
      <xdr:rowOff>8021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AA6672E-C701-4E6E-8A26-2F4CEC77A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D9BCF-0D9F-4725-8275-B5AB4939FC95}" name="revenue_tbl" displayName="revenue_tbl" ref="A3:B26" totalsRowShown="0">
  <autoFilter ref="A3:B26" xr:uid="{900D9BCF-0D9F-4725-8275-B5AB4939FC95}"/>
  <tableColumns count="2">
    <tableColumn id="1" xr3:uid="{53B66C3C-3BB6-4148-A18D-101DB1C38BC1}" name="Month" dataDxfId="12"/>
    <tableColumn id="2" xr3:uid="{9940583C-56D4-4C53-85A3-06AEB32D3980}" name="Total Revenue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2F20F6-E057-4692-A534-94E329E6A38A}" name="ratings_tbl" displayName="ratings_tbl" ref="A97:C99" totalsRowShown="0">
  <autoFilter ref="A97:C99" xr:uid="{E62F20F6-E057-4692-A534-94E329E6A38A}"/>
  <sortState xmlns:xlrd2="http://schemas.microsoft.com/office/spreadsheetml/2017/richdata2" ref="A98:C99">
    <sortCondition descending="1" ref="B98:B99"/>
  </sortState>
  <tableColumns count="3">
    <tableColumn id="1" xr3:uid="{590E3D90-0B64-46E3-87ED-7D9053E4F908}" name="Delivery Status" dataDxfId="11"/>
    <tableColumn id="2" xr3:uid="{36AFF636-36B8-4C63-BFF3-A7E50B20B0D8}" name="Average Review Score"/>
    <tableColumn id="3" xr3:uid="{F3CC0F3C-3CED-4A26-9CCC-14965E894747}" name="Total Reviews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E1F7AF-0676-4E28-8372-0C0664E2FB4D}" name="Table2" displayName="Table2" ref="A56:C66" totalsRowShown="0" tableBorderDxfId="10">
  <autoFilter ref="A56:C66" xr:uid="{6CE1F7AF-0676-4E28-8372-0C0664E2FB4D}"/>
  <tableColumns count="3">
    <tableColumn id="1" xr3:uid="{14144F6C-1CA5-42B1-A96C-C34A57FD92B2}" name="Product Category" dataDxfId="9"/>
    <tableColumn id="2" xr3:uid="{DDC7DA34-476D-48EA-9753-26FD5CF4D9FB}" name="Total Products Sold" dataDxfId="8"/>
    <tableColumn id="3" xr3:uid="{C899BB23-014D-436A-825B-D2E645AFE567}" name="Total Revenue" dataDxfId="7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687894-AE4F-47EB-8B20-203B4DC0848B}" name="Table3" displayName="Table3" ref="A78:C88" totalsRowShown="0" tableBorderDxfId="6">
  <autoFilter ref="A78:C88" xr:uid="{E0687894-AE4F-47EB-8B20-203B4DC0848B}"/>
  <tableColumns count="3">
    <tableColumn id="1" xr3:uid="{C9C2413A-0C45-49E5-B62B-3FBD12FBE23A}" name="Customer State" dataDxfId="5"/>
    <tableColumn id="2" xr3:uid="{E24146B1-78D2-4962-A69E-C9CE864C9274}" name="Total Delivered Orders" dataDxfId="4"/>
    <tableColumn id="3" xr3:uid="{DC852E4D-33C9-495D-B5AD-5B0ED3C77AFF}" name="Average Delivery Day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D7F478-8482-4934-8953-335215652E38}" name="Table4" displayName="Table4" ref="A116:B126" totalsRowShown="0" tableBorderDxfId="2">
  <autoFilter ref="A116:B126" xr:uid="{C0D7F478-8482-4934-8953-335215652E38}"/>
  <tableColumns count="2">
    <tableColumn id="1" xr3:uid="{7269553A-F5F3-4C82-BCA1-71A77091DCBA}" name="Customer State" dataDxfId="1"/>
    <tableColumn id="2" xr3:uid="{4FC39A4C-3307-4A42-BF8E-D72A10C0D028}" name="Total Customer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3C4A-043B-4E2B-A514-E1CF57BCFA02}">
  <dimension ref="A2:D143"/>
  <sheetViews>
    <sheetView tabSelected="1" workbookViewId="0">
      <selection activeCell="A115" sqref="A115:B126"/>
    </sheetView>
  </sheetViews>
  <sheetFormatPr defaultRowHeight="14.4" x14ac:dyDescent="0.3"/>
  <cols>
    <col min="1" max="1" width="17.33203125" style="2" customWidth="1"/>
    <col min="2" max="2" width="21.5546875" customWidth="1"/>
    <col min="3" max="3" width="23.44140625" customWidth="1"/>
    <col min="4" max="4" width="18.5546875" customWidth="1"/>
    <col min="5" max="5" width="11.77734375" bestFit="1" customWidth="1"/>
    <col min="6" max="6" width="21.109375" bestFit="1" customWidth="1"/>
    <col min="7" max="7" width="16.44140625" bestFit="1" customWidth="1"/>
    <col min="9" max="9" width="26.88671875" customWidth="1"/>
    <col min="10" max="10" width="16.6640625" bestFit="1" customWidth="1"/>
    <col min="11" max="11" width="11.77734375" bestFit="1" customWidth="1"/>
    <col min="13" max="13" width="13.5546875" bestFit="1" customWidth="1"/>
    <col min="14" max="14" width="18.88671875" bestFit="1" customWidth="1"/>
    <col min="15" max="15" width="18.21875" customWidth="1"/>
    <col min="17" max="17" width="14.6640625" bestFit="1" customWidth="1"/>
    <col min="18" max="18" width="18.88671875" bestFit="1" customWidth="1"/>
    <col min="19" max="19" width="9.109375" customWidth="1"/>
  </cols>
  <sheetData>
    <row r="2" spans="1:2" x14ac:dyDescent="0.3">
      <c r="A2" s="23" t="s">
        <v>0</v>
      </c>
      <c r="B2" s="23"/>
    </row>
    <row r="3" spans="1:2" x14ac:dyDescent="0.3">
      <c r="A3" s="3" t="s">
        <v>37</v>
      </c>
      <c r="B3" t="s">
        <v>38</v>
      </c>
    </row>
    <row r="4" spans="1:2" x14ac:dyDescent="0.3">
      <c r="A4" s="2">
        <v>42614</v>
      </c>
      <c r="B4" s="1">
        <v>143.46</v>
      </c>
    </row>
    <row r="5" spans="1:2" x14ac:dyDescent="0.3">
      <c r="A5" s="2">
        <v>42644</v>
      </c>
      <c r="B5" s="1">
        <v>46490.66</v>
      </c>
    </row>
    <row r="6" spans="1:2" x14ac:dyDescent="0.3">
      <c r="A6" s="2">
        <v>42705</v>
      </c>
      <c r="B6" s="1">
        <v>19.62</v>
      </c>
    </row>
    <row r="7" spans="1:2" x14ac:dyDescent="0.3">
      <c r="A7" s="2">
        <v>42736</v>
      </c>
      <c r="B7" s="1">
        <v>127482.37</v>
      </c>
    </row>
    <row r="8" spans="1:2" x14ac:dyDescent="0.3">
      <c r="A8" s="2">
        <v>42767</v>
      </c>
      <c r="B8" s="1">
        <v>271239.32</v>
      </c>
    </row>
    <row r="9" spans="1:2" x14ac:dyDescent="0.3">
      <c r="A9" s="2">
        <v>42795</v>
      </c>
      <c r="B9" s="1">
        <v>414330.95</v>
      </c>
    </row>
    <row r="10" spans="1:2" x14ac:dyDescent="0.3">
      <c r="A10" s="2">
        <v>42826</v>
      </c>
      <c r="B10" s="1">
        <v>390812.4</v>
      </c>
    </row>
    <row r="11" spans="1:2" x14ac:dyDescent="0.3">
      <c r="A11" s="2">
        <v>42856</v>
      </c>
      <c r="B11" s="1">
        <v>566851.4</v>
      </c>
    </row>
    <row r="12" spans="1:2" x14ac:dyDescent="0.3">
      <c r="A12" s="2">
        <v>42887</v>
      </c>
      <c r="B12" s="1">
        <v>490050.37</v>
      </c>
    </row>
    <row r="13" spans="1:2" x14ac:dyDescent="0.3">
      <c r="A13" s="2">
        <v>42917</v>
      </c>
      <c r="B13" s="1">
        <v>566299.07999999996</v>
      </c>
    </row>
    <row r="14" spans="1:2" x14ac:dyDescent="0.3">
      <c r="A14" s="2">
        <v>42948</v>
      </c>
      <c r="B14" s="1">
        <v>645832.36</v>
      </c>
    </row>
    <row r="15" spans="1:2" x14ac:dyDescent="0.3">
      <c r="A15" s="2">
        <v>42979</v>
      </c>
      <c r="B15" s="1">
        <v>701077.49</v>
      </c>
    </row>
    <row r="16" spans="1:2" x14ac:dyDescent="0.3">
      <c r="A16" s="2">
        <v>43009</v>
      </c>
      <c r="B16" s="1">
        <v>751117.01</v>
      </c>
    </row>
    <row r="17" spans="1:4" x14ac:dyDescent="0.3">
      <c r="A17" s="2">
        <v>43040</v>
      </c>
      <c r="B17" s="1">
        <v>1153364.2</v>
      </c>
    </row>
    <row r="18" spans="1:4" x14ac:dyDescent="0.3">
      <c r="A18" s="2">
        <v>43070</v>
      </c>
      <c r="B18" s="1">
        <v>843078.29</v>
      </c>
    </row>
    <row r="19" spans="1:4" x14ac:dyDescent="0.3">
      <c r="A19" s="2">
        <v>43101</v>
      </c>
      <c r="B19" s="1">
        <v>1077887.46</v>
      </c>
    </row>
    <row r="20" spans="1:4" x14ac:dyDescent="0.3">
      <c r="A20" s="2">
        <v>43132</v>
      </c>
      <c r="B20" s="1">
        <v>966168.41</v>
      </c>
    </row>
    <row r="21" spans="1:4" x14ac:dyDescent="0.3">
      <c r="A21" s="2">
        <v>43160</v>
      </c>
      <c r="B21" s="1">
        <v>1120598.24</v>
      </c>
    </row>
    <row r="22" spans="1:4" x14ac:dyDescent="0.3">
      <c r="A22" s="2">
        <v>43191</v>
      </c>
      <c r="B22" s="1">
        <v>1132878.93</v>
      </c>
    </row>
    <row r="23" spans="1:4" x14ac:dyDescent="0.3">
      <c r="A23" s="2">
        <v>43221</v>
      </c>
      <c r="B23" s="1">
        <v>1128774.52</v>
      </c>
    </row>
    <row r="24" spans="1:4" x14ac:dyDescent="0.3">
      <c r="A24" s="2">
        <v>43252</v>
      </c>
      <c r="B24" s="1">
        <v>1011978.29</v>
      </c>
    </row>
    <row r="25" spans="1:4" x14ac:dyDescent="0.3">
      <c r="A25" s="2">
        <v>43282</v>
      </c>
      <c r="B25" s="1">
        <v>1027807.28</v>
      </c>
    </row>
    <row r="26" spans="1:4" x14ac:dyDescent="0.3">
      <c r="A26" s="2">
        <v>43313</v>
      </c>
      <c r="B26" s="1">
        <v>985491.64</v>
      </c>
    </row>
    <row r="30" spans="1:4" x14ac:dyDescent="0.3">
      <c r="A30" s="24" t="s">
        <v>1</v>
      </c>
      <c r="B30" s="24"/>
      <c r="C30" s="24"/>
      <c r="D30" s="24"/>
    </row>
    <row r="31" spans="1:4" x14ac:dyDescent="0.3">
      <c r="A31" s="4" t="s">
        <v>37</v>
      </c>
      <c r="B31" s="5" t="s">
        <v>38</v>
      </c>
      <c r="C31" s="5" t="s">
        <v>39</v>
      </c>
      <c r="D31" s="6" t="s">
        <v>40</v>
      </c>
    </row>
    <row r="32" spans="1:4" x14ac:dyDescent="0.3">
      <c r="A32" s="7">
        <v>42767</v>
      </c>
      <c r="B32" s="8">
        <v>271239.32</v>
      </c>
      <c r="C32" s="8">
        <v>127482.37</v>
      </c>
      <c r="D32" s="12">
        <v>112.77</v>
      </c>
    </row>
    <row r="33" spans="1:4" x14ac:dyDescent="0.3">
      <c r="A33" s="9">
        <v>42795</v>
      </c>
      <c r="B33" s="10">
        <v>414330.95</v>
      </c>
      <c r="C33" s="10">
        <v>271239.32</v>
      </c>
      <c r="D33" s="11">
        <v>52.75</v>
      </c>
    </row>
    <row r="34" spans="1:4" x14ac:dyDescent="0.3">
      <c r="A34" s="7">
        <v>42826</v>
      </c>
      <c r="B34" s="8">
        <v>390812.4</v>
      </c>
      <c r="C34" s="8">
        <v>414330.95</v>
      </c>
      <c r="D34" s="12">
        <v>-5.68</v>
      </c>
    </row>
    <row r="35" spans="1:4" x14ac:dyDescent="0.3">
      <c r="A35" s="9">
        <v>42856</v>
      </c>
      <c r="B35" s="10">
        <v>566851.4</v>
      </c>
      <c r="C35" s="10">
        <v>390812.4</v>
      </c>
      <c r="D35" s="11">
        <v>45.04</v>
      </c>
    </row>
    <row r="36" spans="1:4" x14ac:dyDescent="0.3">
      <c r="A36" s="7">
        <v>42887</v>
      </c>
      <c r="B36" s="8">
        <v>490050.37</v>
      </c>
      <c r="C36" s="8">
        <v>566851.4</v>
      </c>
      <c r="D36" s="12">
        <v>-13.55</v>
      </c>
    </row>
    <row r="37" spans="1:4" x14ac:dyDescent="0.3">
      <c r="A37" s="9">
        <v>42917</v>
      </c>
      <c r="B37" s="10">
        <v>566299.07999999996</v>
      </c>
      <c r="C37" s="10">
        <v>490050.37</v>
      </c>
      <c r="D37" s="11">
        <v>15.56</v>
      </c>
    </row>
    <row r="38" spans="1:4" x14ac:dyDescent="0.3">
      <c r="A38" s="7">
        <v>42948</v>
      </c>
      <c r="B38" s="8">
        <v>645832.36</v>
      </c>
      <c r="C38" s="8">
        <v>566299.07999999996</v>
      </c>
      <c r="D38" s="12">
        <v>14.04</v>
      </c>
    </row>
    <row r="39" spans="1:4" x14ac:dyDescent="0.3">
      <c r="A39" s="9">
        <v>42979</v>
      </c>
      <c r="B39" s="10">
        <v>701077.49</v>
      </c>
      <c r="C39" s="10">
        <v>645832.36</v>
      </c>
      <c r="D39" s="11">
        <v>8.5500000000000007</v>
      </c>
    </row>
    <row r="40" spans="1:4" x14ac:dyDescent="0.3">
      <c r="A40" s="7">
        <v>43009</v>
      </c>
      <c r="B40" s="8">
        <v>751117.01</v>
      </c>
      <c r="C40" s="8">
        <v>701077.49</v>
      </c>
      <c r="D40" s="12">
        <v>7.14</v>
      </c>
    </row>
    <row r="41" spans="1:4" x14ac:dyDescent="0.3">
      <c r="A41" s="9">
        <v>43040</v>
      </c>
      <c r="B41" s="10">
        <v>1153364.2</v>
      </c>
      <c r="C41" s="10">
        <v>751117.01</v>
      </c>
      <c r="D41" s="11">
        <v>53.55</v>
      </c>
    </row>
    <row r="42" spans="1:4" x14ac:dyDescent="0.3">
      <c r="A42" s="7">
        <v>43070</v>
      </c>
      <c r="B42" s="8">
        <v>843078.29</v>
      </c>
      <c r="C42" s="8">
        <v>1153364.2</v>
      </c>
      <c r="D42" s="12">
        <v>-26.9</v>
      </c>
    </row>
    <row r="43" spans="1:4" x14ac:dyDescent="0.3">
      <c r="A43" s="9">
        <v>43101</v>
      </c>
      <c r="B43" s="10">
        <v>1077887.46</v>
      </c>
      <c r="C43" s="10">
        <v>843078.29</v>
      </c>
      <c r="D43" s="11">
        <v>27.85</v>
      </c>
    </row>
    <row r="44" spans="1:4" x14ac:dyDescent="0.3">
      <c r="A44" s="7">
        <v>43132</v>
      </c>
      <c r="B44" s="8">
        <v>966168.41</v>
      </c>
      <c r="C44" s="8">
        <v>1077887.46</v>
      </c>
      <c r="D44" s="12">
        <v>-10.36</v>
      </c>
    </row>
    <row r="45" spans="1:4" x14ac:dyDescent="0.3">
      <c r="A45" s="9">
        <v>43160</v>
      </c>
      <c r="B45" s="10">
        <v>1120598.24</v>
      </c>
      <c r="C45" s="10">
        <v>966168.41</v>
      </c>
      <c r="D45" s="11">
        <v>15.98</v>
      </c>
    </row>
    <row r="46" spans="1:4" x14ac:dyDescent="0.3">
      <c r="A46" s="7">
        <v>43191</v>
      </c>
      <c r="B46" s="8">
        <v>1132878.93</v>
      </c>
      <c r="C46" s="8">
        <v>1120598.24</v>
      </c>
      <c r="D46" s="12">
        <v>1.1000000000000001</v>
      </c>
    </row>
    <row r="47" spans="1:4" x14ac:dyDescent="0.3">
      <c r="A47" s="9">
        <v>43221</v>
      </c>
      <c r="B47" s="10">
        <v>1128774.52</v>
      </c>
      <c r="C47" s="10">
        <v>1132878.93</v>
      </c>
      <c r="D47" s="11">
        <v>-0.36</v>
      </c>
    </row>
    <row r="48" spans="1:4" x14ac:dyDescent="0.3">
      <c r="A48" s="7">
        <v>43252</v>
      </c>
      <c r="B48" s="8">
        <v>1011978.29</v>
      </c>
      <c r="C48" s="8">
        <v>1128774.52</v>
      </c>
      <c r="D48" s="12">
        <v>-10.35</v>
      </c>
    </row>
    <row r="49" spans="1:4" x14ac:dyDescent="0.3">
      <c r="A49" s="9">
        <v>43282</v>
      </c>
      <c r="B49" s="10">
        <v>1027807.28</v>
      </c>
      <c r="C49" s="10">
        <v>1011978.29</v>
      </c>
      <c r="D49" s="11">
        <v>1.56</v>
      </c>
    </row>
    <row r="50" spans="1:4" x14ac:dyDescent="0.3">
      <c r="A50" s="13">
        <v>43313</v>
      </c>
      <c r="B50" s="14">
        <v>985491.64</v>
      </c>
      <c r="C50" s="14">
        <v>1027807.28</v>
      </c>
      <c r="D50" s="15">
        <v>-4.12</v>
      </c>
    </row>
    <row r="56" spans="1:4" x14ac:dyDescent="0.3">
      <c r="A56" s="21" t="s">
        <v>41</v>
      </c>
      <c r="B56" s="22" t="s">
        <v>42</v>
      </c>
      <c r="C56" s="22" t="s">
        <v>38</v>
      </c>
    </row>
    <row r="57" spans="1:4" x14ac:dyDescent="0.3">
      <c r="A57" s="19" t="s">
        <v>3</v>
      </c>
      <c r="B57" s="17">
        <v>9465</v>
      </c>
      <c r="C57" s="8">
        <v>1233131.72</v>
      </c>
    </row>
    <row r="58" spans="1:4" x14ac:dyDescent="0.3">
      <c r="A58" s="20" t="s">
        <v>8</v>
      </c>
      <c r="B58" s="18">
        <v>5859</v>
      </c>
      <c r="C58" s="10">
        <v>1166176.98</v>
      </c>
    </row>
    <row r="59" spans="1:4" x14ac:dyDescent="0.3">
      <c r="A59" s="19" t="s">
        <v>2</v>
      </c>
      <c r="B59" s="17">
        <v>10953</v>
      </c>
      <c r="C59" s="8">
        <v>1023434.76</v>
      </c>
    </row>
    <row r="60" spans="1:4" x14ac:dyDescent="0.3">
      <c r="A60" s="20" t="s">
        <v>4</v>
      </c>
      <c r="B60" s="18">
        <v>8431</v>
      </c>
      <c r="C60" s="10">
        <v>954852.55</v>
      </c>
    </row>
    <row r="61" spans="1:4" x14ac:dyDescent="0.3">
      <c r="A61" s="19" t="s">
        <v>6</v>
      </c>
      <c r="B61" s="17">
        <v>7644</v>
      </c>
      <c r="C61" s="8">
        <v>888724.61</v>
      </c>
    </row>
    <row r="62" spans="1:4" x14ac:dyDescent="0.3">
      <c r="A62" s="20" t="s">
        <v>5</v>
      </c>
      <c r="B62" s="18">
        <v>8160</v>
      </c>
      <c r="C62" s="10">
        <v>711927.69</v>
      </c>
      <c r="D62" s="16"/>
    </row>
    <row r="63" spans="1:4" x14ac:dyDescent="0.3">
      <c r="A63" s="19" t="s">
        <v>7</v>
      </c>
      <c r="B63" s="17">
        <v>6795</v>
      </c>
      <c r="C63" s="8">
        <v>615628.68999999994</v>
      </c>
    </row>
    <row r="64" spans="1:4" x14ac:dyDescent="0.3">
      <c r="A64" s="20" t="s">
        <v>11</v>
      </c>
      <c r="B64" s="18">
        <v>3718</v>
      </c>
      <c r="C64" s="10">
        <v>610204.1</v>
      </c>
    </row>
    <row r="65" spans="1:3" x14ac:dyDescent="0.3">
      <c r="A65" s="19" t="s">
        <v>9</v>
      </c>
      <c r="B65" s="17">
        <v>4140</v>
      </c>
      <c r="C65" s="8">
        <v>578966.65</v>
      </c>
    </row>
    <row r="66" spans="1:3" x14ac:dyDescent="0.3">
      <c r="A66" s="20" t="s">
        <v>10</v>
      </c>
      <c r="B66" s="18">
        <v>4030</v>
      </c>
      <c r="C66" s="10">
        <v>471286.48</v>
      </c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 s="23" t="s">
        <v>32</v>
      </c>
      <c r="B77" s="23"/>
      <c r="C77" s="23"/>
    </row>
    <row r="78" spans="1:3" x14ac:dyDescent="0.3">
      <c r="A78" s="21" t="s">
        <v>43</v>
      </c>
      <c r="B78" s="22" t="s">
        <v>44</v>
      </c>
      <c r="C78" s="22" t="s">
        <v>45</v>
      </c>
    </row>
    <row r="79" spans="1:3" x14ac:dyDescent="0.3">
      <c r="A79" s="19" t="s">
        <v>12</v>
      </c>
      <c r="B79" s="17">
        <v>41</v>
      </c>
      <c r="C79" s="17">
        <v>28.98</v>
      </c>
    </row>
    <row r="80" spans="1:3" x14ac:dyDescent="0.3">
      <c r="A80" s="20" t="s">
        <v>13</v>
      </c>
      <c r="B80" s="18">
        <v>67</v>
      </c>
      <c r="C80" s="18">
        <v>26.73</v>
      </c>
    </row>
    <row r="81" spans="1:3" x14ac:dyDescent="0.3">
      <c r="A81" s="19" t="s">
        <v>14</v>
      </c>
      <c r="B81" s="17">
        <v>145</v>
      </c>
      <c r="C81" s="17">
        <v>25.99</v>
      </c>
    </row>
    <row r="82" spans="1:3" x14ac:dyDescent="0.3">
      <c r="A82" s="20" t="s">
        <v>15</v>
      </c>
      <c r="B82" s="18">
        <v>397</v>
      </c>
      <c r="C82" s="18">
        <v>24.04</v>
      </c>
    </row>
    <row r="83" spans="1:3" x14ac:dyDescent="0.3">
      <c r="A83" s="19" t="s">
        <v>16</v>
      </c>
      <c r="B83" s="17">
        <v>946</v>
      </c>
      <c r="C83" s="17">
        <v>23.32</v>
      </c>
    </row>
    <row r="84" spans="1:3" x14ac:dyDescent="0.3">
      <c r="A84" s="20" t="s">
        <v>17</v>
      </c>
      <c r="B84" s="18">
        <v>717</v>
      </c>
      <c r="C84" s="18">
        <v>21.12</v>
      </c>
    </row>
    <row r="85" spans="1:3" x14ac:dyDescent="0.3">
      <c r="A85" s="19" t="s">
        <v>18</v>
      </c>
      <c r="B85" s="17">
        <v>335</v>
      </c>
      <c r="C85" s="17">
        <v>21.03</v>
      </c>
    </row>
    <row r="86" spans="1:3" x14ac:dyDescent="0.3">
      <c r="A86" s="20" t="s">
        <v>19</v>
      </c>
      <c r="B86" s="18">
        <v>1279</v>
      </c>
      <c r="C86" s="18">
        <v>20.82</v>
      </c>
    </row>
    <row r="87" spans="1:3" x14ac:dyDescent="0.3">
      <c r="A87" s="19" t="s">
        <v>20</v>
      </c>
      <c r="B87" s="17">
        <v>80</v>
      </c>
      <c r="C87" s="17">
        <v>20.64</v>
      </c>
    </row>
    <row r="88" spans="1:3" x14ac:dyDescent="0.3">
      <c r="A88" s="20" t="s">
        <v>21</v>
      </c>
      <c r="B88" s="18">
        <v>517</v>
      </c>
      <c r="C88" s="18">
        <v>19.95</v>
      </c>
    </row>
    <row r="89" spans="1:3" x14ac:dyDescent="0.3">
      <c r="A89"/>
    </row>
    <row r="90" spans="1:3" x14ac:dyDescent="0.3">
      <c r="A90"/>
    </row>
    <row r="91" spans="1:3" x14ac:dyDescent="0.3">
      <c r="A91"/>
    </row>
    <row r="92" spans="1:3" x14ac:dyDescent="0.3">
      <c r="A92"/>
    </row>
    <row r="93" spans="1:3" x14ac:dyDescent="0.3">
      <c r="A93"/>
    </row>
    <row r="94" spans="1:3" x14ac:dyDescent="0.3">
      <c r="A94"/>
    </row>
    <row r="95" spans="1:3" x14ac:dyDescent="0.3">
      <c r="A95"/>
    </row>
    <row r="96" spans="1:3" x14ac:dyDescent="0.3">
      <c r="A96" s="23" t="s">
        <v>35</v>
      </c>
      <c r="B96" s="23"/>
      <c r="C96" s="23"/>
    </row>
    <row r="97" spans="1:3" x14ac:dyDescent="0.3">
      <c r="A97" s="2" t="s">
        <v>46</v>
      </c>
      <c r="B97" t="s">
        <v>47</v>
      </c>
      <c r="C97" t="s">
        <v>48</v>
      </c>
    </row>
    <row r="98" spans="1:3" x14ac:dyDescent="0.3">
      <c r="A98" s="2" t="s">
        <v>34</v>
      </c>
      <c r="B98">
        <v>4.29</v>
      </c>
      <c r="C98" s="1">
        <v>88661</v>
      </c>
    </row>
    <row r="99" spans="1:3" x14ac:dyDescent="0.3">
      <c r="A99" s="2" t="s">
        <v>33</v>
      </c>
      <c r="B99">
        <v>2.57</v>
      </c>
      <c r="C99" s="1">
        <v>7700</v>
      </c>
    </row>
    <row r="101" spans="1:3" x14ac:dyDescent="0.3">
      <c r="A101"/>
    </row>
    <row r="102" spans="1:3" x14ac:dyDescent="0.3">
      <c r="A102"/>
    </row>
    <row r="103" spans="1:3" x14ac:dyDescent="0.3">
      <c r="A103"/>
    </row>
    <row r="104" spans="1:3" x14ac:dyDescent="0.3">
      <c r="A104"/>
    </row>
    <row r="105" spans="1:3" x14ac:dyDescent="0.3">
      <c r="A105"/>
    </row>
    <row r="115" spans="1:2" x14ac:dyDescent="0.3">
      <c r="A115" s="23" t="s">
        <v>36</v>
      </c>
      <c r="B115" s="23"/>
    </row>
    <row r="116" spans="1:2" x14ac:dyDescent="0.3">
      <c r="A116" s="21" t="s">
        <v>43</v>
      </c>
      <c r="B116" s="22" t="s">
        <v>49</v>
      </c>
    </row>
    <row r="117" spans="1:2" x14ac:dyDescent="0.3">
      <c r="A117" s="19" t="s">
        <v>31</v>
      </c>
      <c r="B117" s="8">
        <v>41746</v>
      </c>
    </row>
    <row r="118" spans="1:2" x14ac:dyDescent="0.3">
      <c r="A118" s="20" t="s">
        <v>25</v>
      </c>
      <c r="B118" s="10">
        <v>12852</v>
      </c>
    </row>
    <row r="119" spans="1:2" x14ac:dyDescent="0.3">
      <c r="A119" s="19" t="s">
        <v>29</v>
      </c>
      <c r="B119" s="8">
        <v>11635</v>
      </c>
    </row>
    <row r="120" spans="1:2" x14ac:dyDescent="0.3">
      <c r="A120" s="20" t="s">
        <v>26</v>
      </c>
      <c r="B120" s="10">
        <v>5466</v>
      </c>
    </row>
    <row r="121" spans="1:2" x14ac:dyDescent="0.3">
      <c r="A121" s="19" t="s">
        <v>30</v>
      </c>
      <c r="B121" s="8">
        <v>5045</v>
      </c>
    </row>
    <row r="122" spans="1:2" x14ac:dyDescent="0.3">
      <c r="A122" s="20" t="s">
        <v>27</v>
      </c>
      <c r="B122" s="10">
        <v>3637</v>
      </c>
    </row>
    <row r="123" spans="1:2" x14ac:dyDescent="0.3">
      <c r="A123" s="19" t="s">
        <v>22</v>
      </c>
      <c r="B123" s="8">
        <v>3380</v>
      </c>
    </row>
    <row r="124" spans="1:2" x14ac:dyDescent="0.3">
      <c r="A124" s="20" t="s">
        <v>28</v>
      </c>
      <c r="B124" s="10">
        <v>2140</v>
      </c>
    </row>
    <row r="125" spans="1:2" x14ac:dyDescent="0.3">
      <c r="A125" s="19" t="s">
        <v>23</v>
      </c>
      <c r="B125" s="8">
        <v>2033</v>
      </c>
    </row>
    <row r="126" spans="1:2" x14ac:dyDescent="0.3">
      <c r="A126" s="20" t="s">
        <v>24</v>
      </c>
      <c r="B126" s="10">
        <v>2020</v>
      </c>
    </row>
    <row r="127" spans="1:2" x14ac:dyDescent="0.3">
      <c r="A127"/>
    </row>
    <row r="128" spans="1:2" x14ac:dyDescent="0.3">
      <c r="A128"/>
    </row>
    <row r="143" spans="1:1" x14ac:dyDescent="0.3">
      <c r="A143"/>
    </row>
  </sheetData>
  <mergeCells count="5">
    <mergeCell ref="A2:B2"/>
    <mergeCell ref="A30:D30"/>
    <mergeCell ref="A77:C77"/>
    <mergeCell ref="A96:C96"/>
    <mergeCell ref="A115:B115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0363-FEA5-4EEC-A9D2-9CA686AAEC15}">
  <dimension ref="A1"/>
  <sheetViews>
    <sheetView zoomScale="99" zoomScaleNormal="99" workbookViewId="0">
      <selection activeCell="V12" sqref="V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bracquine sapa</dc:creator>
  <cp:lastModifiedBy>bracquine sapa</cp:lastModifiedBy>
  <dcterms:created xsi:type="dcterms:W3CDTF">2026-05-09T10:57:26Z</dcterms:created>
  <dcterms:modified xsi:type="dcterms:W3CDTF">2026-05-10T14:04:37Z</dcterms:modified>
</cp:coreProperties>
</file>